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280b660b4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" sheetId="1" r:id="R4f1d3861ab9d46dd"/>
    <x:sheet xmlns:r="http://schemas.openxmlformats.org/officeDocument/2006/relationships" name="HoaHong" sheetId="2" r:id="Rf55a1743203b4d88"/>
    <x:sheet xmlns:r="http://schemas.openxmlformats.org/officeDocument/2006/relationships" name="KiemThu" sheetId="3" r:id="R9f0896cb2b09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;[Red](#,##0);0"/>
  </x:numFmts>
  <x:fonts count="4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sz val="11"/>
      <x:color rgb="FF1759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3b7340fb14db4" /><Relationship Type="http://schemas.openxmlformats.org/officeDocument/2006/relationships/theme" Target="/xl/theme/theme1.xml" Id="R1e61aa0903c74749" /><Relationship Type="http://schemas.openxmlformats.org/officeDocument/2006/relationships/sharedStrings" Target="/xl/sharedStrings.xml" Id="Reb9f309895304481" /><Relationship Type="http://schemas.openxmlformats.org/officeDocument/2006/relationships/worksheet" Target="/xl/worksheets/sheet1.xml" Id="R4f1d3861ab9d46dd" /><Relationship Type="http://schemas.openxmlformats.org/officeDocument/2006/relationships/worksheet" Target="/xl/worksheets/sheet2.xml" Id="Rf55a1743203b4d88" /><Relationship Type="http://schemas.openxmlformats.org/officeDocument/2006/relationships/worksheet" Target="/xl/worksheets/sheet3.xml" Id="R9f0896cb2b094694" /></Relationships>
</file>

<file path=xl/tables/table1.xml><?xml version="1.0" encoding="utf-8"?>
<x:table xmlns:x="http://schemas.openxmlformats.org/spreadsheetml/2006/main" id="2" name="DanhSachBDS" displayName="DanhSachBDS" ref="A1:P21" headerRowCount="1" totalsRowCount="0" totalsRowShown="0">
  <x:tableColumns count="16">
    <x:tableColumn id="1" name="Ma_BDS"/>
    <x:tableColumn id="2" name="Dia_chi_mau"/>
    <x:tableColumn id="3" name="Loai"/>
    <x:tableColumn id="4" name="Giao_dich"/>
    <x:tableColumn id="5" name="Khoa_tra"/>
    <x:tableColumn id="6" name="Dien_tich_m2"/>
    <x:tableColumn id="7" name="Gia_ban_VND"/>
    <x:tableColumn id="8" name="Thue_thang_VND"/>
    <x:tableColumn id="9" name="Chiet_khau"/>
    <x:tableColumn id="10" name="Ban_sau_CK"/>
    <x:tableColumn id="11" name="Thue_sau_CK"/>
    <x:tableColumn id="12" name="So_thang"/>
    <x:tableColumn id="13" name="Tong_thue"/>
    <x:tableColumn id="14" name="Ty_le_HH"/>
    <x:tableColumn id="15" name="Co_so_HH"/>
    <x:tableColumn id="16" name="Hoa_hong_V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angHoaHong" displayName="BangHoaHong" ref="A1:B7" headerRowCount="1" totalsRowCount="0" totalsRowShown="0">
  <x:tableColumns count="2">
    <x:tableColumn id="1" name="Khoa"/>
    <x:tableColumn id="2" name="Ty_le_hoa_ho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2126ff42b649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fbb40e22a847d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1" hidden="0" customWidth="1"/>
    <x:col min="8" max="8" width="21" hidden="0" customWidth="1"/>
    <x:col min="9" max="9" width="14" hidden="0" customWidth="1"/>
    <x:col min="10" max="10" width="21" hidden="0" customWidth="1"/>
    <x:col min="11" max="11" width="21" hidden="0" customWidth="1"/>
    <x:col min="12" max="12" width="12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8" max="18" width="94" hidden="0" customWidth="1"/>
  </x:cols>
  <x:sheetData>
    <x:row r="1" ht="48" customHeight="1">
      <x:c r="A1" s="7" t="str">
        <x:v>Ma_BDS</x:v>
      </x:c>
      <x:c r="B1" s="7" t="str">
        <x:v>Dia_chi_mau</x:v>
      </x:c>
      <x:c r="C1" s="7" t="str">
        <x:v>Loai</x:v>
      </x:c>
      <x:c r="D1" s="7" t="str">
        <x:v>Giao_dich</x:v>
      </x:c>
      <x:c r="E1" s="7" t="str">
        <x:v>Khoa_tra</x:v>
      </x:c>
      <x:c r="F1" s="7" t="str">
        <x:v>Dien_tich_m2</x:v>
      </x:c>
      <x:c r="G1" s="7" t="str">
        <x:v>Gia_ban_VND</x:v>
      </x:c>
      <x:c r="H1" s="7" t="str">
        <x:v>Thue_thang_VND</x:v>
      </x:c>
      <x:c r="I1" s="7" t="str">
        <x:v>Chiet_khau</x:v>
      </x:c>
      <x:c r="J1" s="7" t="str">
        <x:v>Ban_sau_CK</x:v>
      </x:c>
      <x:c r="K1" s="7" t="str">
        <x:v>Thue_sau_CK</x:v>
      </x:c>
      <x:c r="L1" s="7" t="str">
        <x:v>So_thang</x:v>
      </x:c>
      <x:c r="M1" s="7" t="str">
        <x:v>Tong_thue</x:v>
      </x:c>
      <x:c r="N1" s="7" t="str">
        <x:v>Ty_le_HH</x:v>
      </x:c>
      <x:c r="O1" s="7" t="str">
        <x:v>Co_so_HH</x:v>
      </x:c>
      <x:c r="P1" s="7" t="str">
        <x:v>Hoa_hong_VND</x:v>
      </x:c>
    </x:row>
    <x:row r="2" ht="26" customHeight="1">
      <x:c r="A2" s="9" t="str">
        <x:v>SH001</x:v>
      </x:c>
      <x:c r="B2" s="9" t="str">
        <x:v>Bất động sản mẫu 1</x:v>
      </x:c>
      <x:c r="C2" s="9" t="str">
        <x:v>CH</x:v>
      </x:c>
      <x:c r="D2" s="9" t="str">
        <x:v>BAN</x:v>
      </x:c>
      <x:c r="E2" s="2" t="str">
        <x:f>TRIM(C2)&amp;"_"&amp;TRIM(D2)</x:f>
        <x:v>CH_BAN</x:v>
      </x:c>
      <x:c r="F2" s="9" t="n">
        <x:v>45</x:v>
      </x:c>
      <x:c r="G2" s="10" t="n">
        <x:v>2000000000</x:v>
      </x:c>
      <x:c r="H2" s="10"/>
      <x:c r="I2" s="11" t="n">
        <x:v>0.05</x:v>
      </x:c>
      <x:c r="J2" s="8" t="n">
        <x:f>IF(D2="BAN",ROUND(G2*(1-I2),0),"")</x:f>
        <x:v>1900000000</x:v>
      </x:c>
      <x:c r="K2" s="8" t="str">
        <x:f>IF(D2="THUE",ROUND(H2*(1-I2),0),"")</x:f>
      </x:c>
      <x:c r="L2" s="9"/>
      <x:c r="M2" s="8" t="str">
        <x:f>IF(D2="THUE",K2*L2,"")</x:f>
      </x:c>
      <x:c r="N2" s="5" t="n">
        <x:f>_xlfn.IFNA(VLOOKUP(E2,'HoaHong'!$A$2:$B$7,2,FALSE),"Thieu ma")</x:f>
        <x:v>0.02</x:v>
      </x:c>
      <x:c r="O2" s="8" t="n">
        <x:f>IF(D2="BAN",J2,M2)</x:f>
        <x:v>1900000000</x:v>
      </x:c>
      <x:c r="P2" s="8" t="n">
        <x:f>IF(ISNUMBER(N2),ROUND(O2*N2,0),"Kiem tra ma")</x:f>
        <x:v>38000000</x:v>
      </x:c>
      <x:c r="R2" t="str">
        <x:v>Nguồn: 20 hồ sơ giả định, không phải dữ liệu giao dịch thật.</x:v>
      </x:c>
    </x:row>
    <x:row r="3" ht="26" customHeight="1">
      <x:c r="A3" s="9" t="str">
        <x:v>SH002</x:v>
      </x:c>
      <x:c r="B3" s="9" t="str">
        <x:v>Bất động sản mẫu 2</x:v>
      </x:c>
      <x:c r="C3" s="9" t="str">
        <x:v>NP</x:v>
      </x:c>
      <x:c r="D3" s="9" t="str">
        <x:v>BAN</x:v>
      </x:c>
      <x:c r="E3" s="2" t="str">
        <x:f>TRIM(C3)&amp;"_"&amp;TRIM(D3)</x:f>
        <x:v>NP_BAN</x:v>
      </x:c>
      <x:c r="F3" s="9" t="n">
        <x:v>52</x:v>
      </x:c>
      <x:c r="G3" s="10" t="n">
        <x:v>2250000000</x:v>
      </x:c>
      <x:c r="H3" s="10"/>
      <x:c r="I3" s="11" t="n">
        <x:v>0.03</x:v>
      </x:c>
      <x:c r="J3" s="8" t="n">
        <x:f>IF(D3="BAN",ROUND(G3*(1-I3),0),"")</x:f>
        <x:v>2182500000</x:v>
      </x:c>
      <x:c r="K3" s="8" t="str">
        <x:f>IF(D3="THUE",ROUND(H3*(1-I3),0),"")</x:f>
      </x:c>
      <x:c r="L3" s="9"/>
      <x:c r="M3" s="8" t="str">
        <x:f>IF(D3="THUE",K3*L3,"")</x:f>
      </x:c>
      <x:c r="N3" s="5" t="n">
        <x:f>_xlfn.IFNA(VLOOKUP(E3,'HoaHong'!$A$2:$B$7,2,FALSE),"Thieu ma")</x:f>
        <x:v>0.015</x:v>
      </x:c>
      <x:c r="O3" s="8" t="n">
        <x:f>IF(D3="BAN",J3,M3)</x:f>
        <x:v>2182500000</x:v>
      </x:c>
      <x:c r="P3" s="8" t="n">
        <x:f>IF(ISNUMBER(N3),ROUND(O3*N3,0),"Kiem tra ma")</x:f>
        <x:v>32737500</x:v>
      </x:c>
    </x:row>
    <x:row r="4" ht="26" customHeight="1">
      <x:c r="A4" s="9" t="str">
        <x:v>SH003</x:v>
      </x:c>
      <x:c r="B4" s="9" t="str">
        <x:v>Bất động sản mẫu 3</x:v>
      </x:c>
      <x:c r="C4" s="9" t="str">
        <x:v>DAT</x:v>
      </x:c>
      <x:c r="D4" s="9" t="str">
        <x:v>BAN</x:v>
      </x:c>
      <x:c r="E4" s="2" t="str">
        <x:f>TRIM(C4)&amp;"_"&amp;TRIM(D4)</x:f>
        <x:v>DAT_BAN</x:v>
      </x:c>
      <x:c r="F4" s="9" t="n">
        <x:v>59</x:v>
      </x:c>
      <x:c r="G4" s="10" t="n">
        <x:v>2500000000</x:v>
      </x:c>
      <x:c r="H4" s="10"/>
      <x:c r="I4" s="11" t="n">
        <x:v>0</x:v>
      </x:c>
      <x:c r="J4" s="8" t="n">
        <x:f>IF(D4="BAN",ROUND(G4*(1-I4),0),"")</x:f>
        <x:v>2500000000</x:v>
      </x:c>
      <x:c r="K4" s="8" t="str">
        <x:f>IF(D4="THUE",ROUND(H4*(1-I4),0),"")</x:f>
      </x:c>
      <x:c r="L4" s="9"/>
      <x:c r="M4" s="8" t="str">
        <x:f>IF(D4="THUE",K4*L4,"")</x:f>
      </x:c>
      <x:c r="N4" s="5" t="n">
        <x:f>_xlfn.IFNA(VLOOKUP(E4,'HoaHong'!$A$2:$B$7,2,FALSE),"Thieu ma")</x:f>
        <x:v>0.01</x:v>
      </x:c>
      <x:c r="O4" s="8" t="n">
        <x:f>IF(D4="BAN",J4,M4)</x:f>
        <x:v>2500000000</x:v>
      </x:c>
      <x:c r="P4" s="8" t="n">
        <x:f>IF(ISNUMBER(N4),ROUND(O4*N4,0),"Kiem tra ma")</x:f>
        <x:v>25000000</x:v>
      </x:c>
      <x:c r="R4" t="str">
        <x:v>Chữ xanh: nhập liệu. Chữ đen: công thức. Không sửa đè công thức.</x:v>
      </x:c>
    </x:row>
    <x:row r="5" ht="26" customHeight="1">
      <x:c r="A5" s="9" t="str">
        <x:v>SH004</x:v>
      </x:c>
      <x:c r="B5" s="9" t="str">
        <x:v>Bất động sản mẫu 4</x:v>
      </x:c>
      <x:c r="C5" s="9" t="str">
        <x:v>CH</x:v>
      </x:c>
      <x:c r="D5" s="9" t="str">
        <x:v>BAN</x:v>
      </x:c>
      <x:c r="E5" s="2" t="str">
        <x:f>TRIM(C5)&amp;"_"&amp;TRIM(D5)</x:f>
        <x:v>CH_BAN</x:v>
      </x:c>
      <x:c r="F5" s="9" t="n">
        <x:v>66</x:v>
      </x:c>
      <x:c r="G5" s="10" t="n">
        <x:v>2750000000</x:v>
      </x:c>
      <x:c r="H5" s="10"/>
      <x:c r="I5" s="11" t="n">
        <x:v>0.02</x:v>
      </x:c>
      <x:c r="J5" s="8" t="n">
        <x:f>IF(D5="BAN",ROUND(G5*(1-I5),0),"")</x:f>
        <x:v>2695000000</x:v>
      </x:c>
      <x:c r="K5" s="8" t="str">
        <x:f>IF(D5="THUE",ROUND(H5*(1-I5),0),"")</x:f>
      </x:c>
      <x:c r="L5" s="9"/>
      <x:c r="M5" s="8" t="str">
        <x:f>IF(D5="THUE",K5*L5,"")</x:f>
      </x:c>
      <x:c r="N5" s="5" t="n">
        <x:f>_xlfn.IFNA(VLOOKUP(E5,'HoaHong'!$A$2:$B$7,2,FALSE),"Thieu ma")</x:f>
        <x:v>0.02</x:v>
      </x:c>
      <x:c r="O5" s="8" t="n">
        <x:f>IF(D5="BAN",J5,M5)</x:f>
        <x:v>2695000000</x:v>
      </x:c>
      <x:c r="P5" s="8" t="n">
        <x:f>IF(ISNUMBER(N5),ROUND(O5*N5,0),"Kiem tra ma")</x:f>
        <x:v>53900000</x:v>
      </x:c>
    </x:row>
    <x:row r="6" ht="26" customHeight="1">
      <x:c r="A6" s="9" t="str">
        <x:v>SH005</x:v>
      </x:c>
      <x:c r="B6" s="9" t="str">
        <x:v>Bất động sản mẫu 5</x:v>
      </x:c>
      <x:c r="C6" s="9" t="str">
        <x:v>NP</x:v>
      </x:c>
      <x:c r="D6" s="9" t="str">
        <x:v>BAN</x:v>
      </x:c>
      <x:c r="E6" s="2" t="str">
        <x:f>TRIM(C6)&amp;"_"&amp;TRIM(D6)</x:f>
        <x:v>NP_BAN</x:v>
      </x:c>
      <x:c r="F6" s="9" t="n">
        <x:v>73</x:v>
      </x:c>
      <x:c r="G6" s="10" t="n">
        <x:v>3000000000</x:v>
      </x:c>
      <x:c r="H6" s="10"/>
      <x:c r="I6" s="11" t="n">
        <x:v>0.05</x:v>
      </x:c>
      <x:c r="J6" s="8" t="n">
        <x:f>IF(D6="BAN",ROUND(G6*(1-I6),0),"")</x:f>
        <x:v>2850000000</x:v>
      </x:c>
      <x:c r="K6" s="8" t="str">
        <x:f>IF(D6="THUE",ROUND(H6*(1-I6),0),"")</x:f>
      </x:c>
      <x:c r="L6" s="9"/>
      <x:c r="M6" s="8" t="str">
        <x:f>IF(D6="THUE",K6*L6,"")</x:f>
      </x:c>
      <x:c r="N6" s="5" t="n">
        <x:f>_xlfn.IFNA(VLOOKUP(E6,'HoaHong'!$A$2:$B$7,2,FALSE),"Thieu ma")</x:f>
        <x:v>0.015</x:v>
      </x:c>
      <x:c r="O6" s="8" t="n">
        <x:f>IF(D6="BAN",J6,M6)</x:f>
        <x:v>2850000000</x:v>
      </x:c>
      <x:c r="P6" s="8" t="n">
        <x:f>IF(ISNUMBER(N6),ROUND(O6*N6,0),"Kiem tra ma")</x:f>
        <x:v>42750000</x:v>
      </x:c>
      <x:c r="R6" t="str">
        <x:v>Bán: G × (1 − I). Thuê/tháng: H × (1 − I).</x:v>
      </x:c>
    </x:row>
    <x:row r="7" ht="26" customHeight="1">
      <x:c r="A7" s="9" t="str">
        <x:v>SH006</x:v>
      </x:c>
      <x:c r="B7" s="9" t="str">
        <x:v>Bất động sản mẫu 6</x:v>
      </x:c>
      <x:c r="C7" s="9" t="str">
        <x:v>DAT</x:v>
      </x:c>
      <x:c r="D7" s="9" t="str">
        <x:v>BAN</x:v>
      </x:c>
      <x:c r="E7" s="2" t="str">
        <x:f>TRIM(C7)&amp;"_"&amp;TRIM(D7)</x:f>
        <x:v>DAT_BAN</x:v>
      </x:c>
      <x:c r="F7" s="9" t="n">
        <x:v>80</x:v>
      </x:c>
      <x:c r="G7" s="10" t="n">
        <x:v>3250000000</x:v>
      </x:c>
      <x:c r="H7" s="10"/>
      <x:c r="I7" s="11" t="n">
        <x:v>0.03</x:v>
      </x:c>
      <x:c r="J7" s="8" t="n">
        <x:f>IF(D7="BAN",ROUND(G7*(1-I7),0),"")</x:f>
        <x:v>3152500000</x:v>
      </x:c>
      <x:c r="K7" s="8" t="str">
        <x:f>IF(D7="THUE",ROUND(H7*(1-I7),0),"")</x:f>
      </x:c>
      <x:c r="L7" s="9"/>
      <x:c r="M7" s="8" t="str">
        <x:f>IF(D7="THUE",K7*L7,"")</x:f>
      </x:c>
      <x:c r="N7" s="5" t="n">
        <x:f>_xlfn.IFNA(VLOOKUP(E7,'HoaHong'!$A$2:$B$7,2,FALSE),"Thieu ma")</x:f>
        <x:v>0.01</x:v>
      </x:c>
      <x:c r="O7" s="8" t="n">
        <x:f>IF(D7="BAN",J7,M7)</x:f>
        <x:v>3152500000</x:v>
      </x:c>
      <x:c r="P7" s="8" t="n">
        <x:f>IF(ISNUMBER(N7),ROUND(O7*N7,0),"Kiem tra ma")</x:f>
        <x:v>31525000</x:v>
      </x:c>
    </x:row>
    <x:row r="8" ht="26" customHeight="1">
      <x:c r="A8" s="9" t="str">
        <x:v>SH007</x:v>
      </x:c>
      <x:c r="B8" s="9" t="str">
        <x:v>Bất động sản mẫu 7</x:v>
      </x:c>
      <x:c r="C8" s="9" t="str">
        <x:v>CH</x:v>
      </x:c>
      <x:c r="D8" s="9" t="str">
        <x:v>BAN</x:v>
      </x:c>
      <x:c r="E8" s="2" t="str">
        <x:f>TRIM(C8)&amp;"_"&amp;TRIM(D8)</x:f>
        <x:v>CH_BAN</x:v>
      </x:c>
      <x:c r="F8" s="9" t="n">
        <x:v>87</x:v>
      </x:c>
      <x:c r="G8" s="10" t="n">
        <x:v>3500000000</x:v>
      </x:c>
      <x:c r="H8" s="10"/>
      <x:c r="I8" s="11" t="n">
        <x:v>0</x:v>
      </x:c>
      <x:c r="J8" s="8" t="n">
        <x:f>IF(D8="BAN",ROUND(G8*(1-I8),0),"")</x:f>
        <x:v>3500000000</x:v>
      </x:c>
      <x:c r="K8" s="8" t="str">
        <x:f>IF(D8="THUE",ROUND(H8*(1-I8),0),"")</x:f>
      </x:c>
      <x:c r="L8" s="9"/>
      <x:c r="M8" s="8" t="str">
        <x:f>IF(D8="THUE",K8*L8,"")</x:f>
      </x:c>
      <x:c r="N8" s="5" t="n">
        <x:f>_xlfn.IFNA(VLOOKUP(E8,'HoaHong'!$A$2:$B$7,2,FALSE),"Thieu ma")</x:f>
        <x:v>0.02</x:v>
      </x:c>
      <x:c r="O8" s="8" t="n">
        <x:f>IF(D8="BAN",J8,M8)</x:f>
        <x:v>3500000000</x:v>
      </x:c>
      <x:c r="P8" s="8" t="n">
        <x:f>IF(ISNUMBER(N8),ROUND(O8*N8,0),"Kiem tra ma")</x:f>
        <x:v>70000000</x:v>
      </x:c>
      <x:c r="R8" t="str">
        <x:v>Hoa hồng thuê tính trên tổng hợp đồng M, không chỉ một tháng.</x:v>
      </x:c>
    </x:row>
    <x:row r="9" ht="26" customHeight="1">
      <x:c r="A9" s="9" t="str">
        <x:v>SH008</x:v>
      </x:c>
      <x:c r="B9" s="9" t="str">
        <x:v>Bất động sản mẫu 8</x:v>
      </x:c>
      <x:c r="C9" s="9" t="str">
        <x:v>NP</x:v>
      </x:c>
      <x:c r="D9" s="9" t="str">
        <x:v>BAN</x:v>
      </x:c>
      <x:c r="E9" s="2" t="str">
        <x:f>TRIM(C9)&amp;"_"&amp;TRIM(D9)</x:f>
        <x:v>NP_BAN</x:v>
      </x:c>
      <x:c r="F9" s="9" t="n">
        <x:v>94</x:v>
      </x:c>
      <x:c r="G9" s="10" t="n">
        <x:v>3750000000</x:v>
      </x:c>
      <x:c r="H9" s="10"/>
      <x:c r="I9" s="11" t="n">
        <x:v>0.02</x:v>
      </x:c>
      <x:c r="J9" s="8" t="n">
        <x:f>IF(D9="BAN",ROUND(G9*(1-I9),0),"")</x:f>
        <x:v>3675000000</x:v>
      </x:c>
      <x:c r="K9" s="8" t="str">
        <x:f>IF(D9="THUE",ROUND(H9*(1-I9),0),"")</x:f>
      </x:c>
      <x:c r="L9" s="9"/>
      <x:c r="M9" s="8" t="str">
        <x:f>IF(D9="THUE",K9*L9,"")</x:f>
      </x:c>
      <x:c r="N9" s="5" t="n">
        <x:f>_xlfn.IFNA(VLOOKUP(E9,'HoaHong'!$A$2:$B$7,2,FALSE),"Thieu ma")</x:f>
        <x:v>0.015</x:v>
      </x:c>
      <x:c r="O9" s="8" t="n">
        <x:f>IF(D9="BAN",J9,M9)</x:f>
        <x:v>3675000000</x:v>
      </x:c>
      <x:c r="P9" s="8" t="n">
        <x:f>IF(ISNUMBER(N9),ROUND(O9*N9,0),"Kiem tra ma")</x:f>
        <x:v>55125000</x:v>
      </x:c>
    </x:row>
    <x:row r="10" ht="26" customHeight="1">
      <x:c r="A10" s="9" t="str">
        <x:v>SH009</x:v>
      </x:c>
      <x:c r="B10" s="9" t="str">
        <x:v>Bất động sản mẫu 9</x:v>
      </x:c>
      <x:c r="C10" s="9" t="str">
        <x:v>DAT</x:v>
      </x:c>
      <x:c r="D10" s="9" t="str">
        <x:v>BAN</x:v>
      </x:c>
      <x:c r="E10" s="2" t="str">
        <x:f>TRIM(C10)&amp;"_"&amp;TRIM(D10)</x:f>
        <x:v>DAT_BAN</x:v>
      </x:c>
      <x:c r="F10" s="9" t="n">
        <x:v>101</x:v>
      </x:c>
      <x:c r="G10" s="10" t="n">
        <x:v>4000000000</x:v>
      </x:c>
      <x:c r="H10" s="10"/>
      <x:c r="I10" s="11" t="n">
        <x:v>0.05</x:v>
      </x:c>
      <x:c r="J10" s="8" t="n">
        <x:f>IF(D10="BAN",ROUND(G10*(1-I10),0),"")</x:f>
        <x:v>3800000000</x:v>
      </x:c>
      <x:c r="K10" s="8" t="str">
        <x:f>IF(D10="THUE",ROUND(H10*(1-I10),0),"")</x:f>
      </x:c>
      <x:c r="L10" s="9"/>
      <x:c r="M10" s="8" t="str">
        <x:f>IF(D10="THUE",K10*L10,"")</x:f>
      </x:c>
      <x:c r="N10" s="5" t="n">
        <x:f>_xlfn.IFNA(VLOOKUP(E10,'HoaHong'!$A$2:$B$7,2,FALSE),"Thieu ma")</x:f>
        <x:v>0.01</x:v>
      </x:c>
      <x:c r="O10" s="8" t="n">
        <x:f>IF(D10="BAN",J10,M10)</x:f>
        <x:v>3800000000</x:v>
      </x:c>
      <x:c r="P10" s="8" t="n">
        <x:f>IF(ISNUMBER(N10),ROUND(O10*N10,0),"Kiem tra ma")</x:f>
        <x:v>38000000</x:v>
      </x:c>
      <x:c r="R10" t="str">
        <x:v>Giá bán sau CK là giá đề xuất trước phiên. Không giảm giá trúng đấu giá.</x:v>
      </x:c>
    </x:row>
    <x:row r="11" ht="26" customHeight="1">
      <x:c r="A11" s="9" t="str">
        <x:v>SH010</x:v>
      </x:c>
      <x:c r="B11" s="9" t="str">
        <x:v>Bất động sản mẫu 10</x:v>
      </x:c>
      <x:c r="C11" s="9" t="str">
        <x:v>CH</x:v>
      </x:c>
      <x:c r="D11" s="9" t="str">
        <x:v>BAN</x:v>
      </x:c>
      <x:c r="E11" s="2" t="str">
        <x:f>TRIM(C11)&amp;"_"&amp;TRIM(D11)</x:f>
        <x:v>CH_BAN</x:v>
      </x:c>
      <x:c r="F11" s="9" t="n">
        <x:v>108</x:v>
      </x:c>
      <x:c r="G11" s="10" t="n">
        <x:v>4250000000</x:v>
      </x:c>
      <x:c r="H11" s="10"/>
      <x:c r="I11" s="11" t="n">
        <x:v>0.03</x:v>
      </x:c>
      <x:c r="J11" s="8" t="n">
        <x:f>IF(D11="BAN",ROUND(G11*(1-I11),0),"")</x:f>
        <x:v>4122500000</x:v>
      </x:c>
      <x:c r="K11" s="8" t="str">
        <x:f>IF(D11="THUE",ROUND(H11*(1-I11),0),"")</x:f>
      </x:c>
      <x:c r="L11" s="9"/>
      <x:c r="M11" s="8" t="str">
        <x:f>IF(D11="THUE",K11*L11,"")</x:f>
      </x:c>
      <x:c r="N11" s="5" t="n">
        <x:f>_xlfn.IFNA(VLOOKUP(E11,'HoaHong'!$A$2:$B$7,2,FALSE),"Thieu ma")</x:f>
        <x:v>0.02</x:v>
      </x:c>
      <x:c r="O11" s="8" t="n">
        <x:f>IF(D11="BAN",J11,M11)</x:f>
        <x:v>4122500000</x:v>
      </x:c>
      <x:c r="P11" s="8" t="n">
        <x:f>IF(ISNUMBER(N11),ROUND(O11*N11,0),"Kiem tra ma")</x:f>
        <x:v>82450000</x:v>
      </x:c>
    </x:row>
    <x:row r="12" ht="26" customHeight="1">
      <x:c r="A12" s="9" t="str">
        <x:v>SH011</x:v>
      </x:c>
      <x:c r="B12" s="9" t="str">
        <x:v>Bất động sản mẫu 11</x:v>
      </x:c>
      <x:c r="C12" s="9" t="str">
        <x:v>NP</x:v>
      </x:c>
      <x:c r="D12" s="9" t="str">
        <x:v>THUE</x:v>
      </x:c>
      <x:c r="E12" s="2" t="str">
        <x:f>TRIM(C12)&amp;"_"&amp;TRIM(D12)</x:f>
        <x:v>NP_THUE</x:v>
      </x:c>
      <x:c r="F12" s="9" t="n">
        <x:v>115</x:v>
      </x:c>
      <x:c r="G12" s="10"/>
      <x:c r="H12" s="10" t="n">
        <x:v>6000000</x:v>
      </x:c>
      <x:c r="I12" s="11" t="n">
        <x:v>0</x:v>
      </x:c>
      <x:c r="J12" s="8" t="str">
        <x:f>IF(D12="BAN",ROUND(G12*(1-I12),0),"")</x:f>
      </x:c>
      <x:c r="K12" s="8" t="n">
        <x:f>IF(D12="THUE",ROUND(H12*(1-I12),0),"")</x:f>
        <x:v>6000000</x:v>
      </x:c>
      <x:c r="L12" s="9" t="n">
        <x:v>6</x:v>
      </x:c>
      <x:c r="M12" s="8" t="n">
        <x:f>IF(D12="THUE",K12*L12,"")</x:f>
        <x:v>36000000</x:v>
      </x:c>
      <x:c r="N12" s="5" t="n">
        <x:f>_xlfn.IFNA(VLOOKUP(E12,'HoaHong'!$A$2:$B$7,2,FALSE),"Thieu ma")</x:f>
        <x:v>0.04</x:v>
      </x:c>
      <x:c r="O12" s="8" t="n">
        <x:f>IF(D12="BAN",J12,M12)</x:f>
        <x:v>36000000</x:v>
      </x:c>
      <x:c r="P12" s="8" t="n">
        <x:f>IF(ISNUMBER(N12),ROUND(O12*N12,0),"Kiem tra ma")</x:f>
        <x:v>1440000</x:v>
      </x:c>
      <x:c r="R12" t="str">
        <x:v>Cột không áp dụng để trống. Không hiểu ô trống là số 0.</x:v>
      </x:c>
    </x:row>
    <x:row r="13" ht="26" customHeight="1">
      <x:c r="A13" s="9" t="str">
        <x:v>SH012</x:v>
      </x:c>
      <x:c r="B13" s="9" t="str">
        <x:v>Bất động sản mẫu 12</x:v>
      </x:c>
      <x:c r="C13" s="9" t="str">
        <x:v>DAT</x:v>
      </x:c>
      <x:c r="D13" s="9" t="str">
        <x:v>THUE</x:v>
      </x:c>
      <x:c r="E13" s="2" t="str">
        <x:f>TRIM(C13)&amp;"_"&amp;TRIM(D13)</x:f>
        <x:v>DAT_THUE</x:v>
      </x:c>
      <x:c r="F13" s="9" t="n">
        <x:v>122</x:v>
      </x:c>
      <x:c r="G13" s="10"/>
      <x:c r="H13" s="10" t="n">
        <x:v>7000000</x:v>
      </x:c>
      <x:c r="I13" s="11" t="n">
        <x:v>0.02</x:v>
      </x:c>
      <x:c r="J13" s="8" t="str">
        <x:f>IF(D13="BAN",ROUND(G13*(1-I13),0),"")</x:f>
      </x:c>
      <x:c r="K13" s="8" t="n">
        <x:f>IF(D13="THUE",ROUND(H13*(1-I13),0),"")</x:f>
        <x:v>6860000</x:v>
      </x:c>
      <x:c r="L13" s="9" t="n">
        <x:v>24</x:v>
      </x:c>
      <x:c r="M13" s="8" t="n">
        <x:f>IF(D13="THUE",K13*L13,"")</x:f>
        <x:v>164640000</x:v>
      </x:c>
      <x:c r="N13" s="5" t="n">
        <x:f>_xlfn.IFNA(VLOOKUP(E13,'HoaHong'!$A$2:$B$7,2,FALSE),"Thieu ma")</x:f>
        <x:v>0.03</x:v>
      </x:c>
      <x:c r="O13" s="8" t="n">
        <x:f>IF(D13="BAN",J13,M13)</x:f>
        <x:v>164640000</x:v>
      </x:c>
      <x:c r="P13" s="8" t="n">
        <x:f>IF(ISNUMBER(N13),ROUND(O13*N13,0),"Kiem tra ma")</x:f>
        <x:v>4939200</x:v>
      </x:c>
    </x:row>
    <x:row r="14" ht="26" customHeight="1">
      <x:c r="A14" s="9" t="str">
        <x:v>SH013</x:v>
      </x:c>
      <x:c r="B14" s="9" t="str">
        <x:v>Bất động sản mẫu 13</x:v>
      </x:c>
      <x:c r="C14" s="9" t="str">
        <x:v>CH</x:v>
      </x:c>
      <x:c r="D14" s="9" t="str">
        <x:v>THUE</x:v>
      </x:c>
      <x:c r="E14" s="2" t="str">
        <x:f>TRIM(C14)&amp;"_"&amp;TRIM(D14)</x:f>
        <x:v>CH_THUE</x:v>
      </x:c>
      <x:c r="F14" s="9" t="n">
        <x:v>129</x:v>
      </x:c>
      <x:c r="G14" s="10"/>
      <x:c r="H14" s="10" t="n">
        <x:v>8000000</x:v>
      </x:c>
      <x:c r="I14" s="11" t="n">
        <x:v>0.05</x:v>
      </x:c>
      <x:c r="J14" s="8" t="str">
        <x:f>IF(D14="BAN",ROUND(G14*(1-I14),0),"")</x:f>
      </x:c>
      <x:c r="K14" s="8" t="n">
        <x:f>IF(D14="THUE",ROUND(H14*(1-I14),0),"")</x:f>
        <x:v>7600000</x:v>
      </x:c>
      <x:c r="L14" s="9" t="n">
        <x:v>12</x:v>
      </x:c>
      <x:c r="M14" s="8" t="n">
        <x:f>IF(D14="THUE",K14*L14,"")</x:f>
        <x:v>91200000</x:v>
      </x:c>
      <x:c r="N14" s="5" t="n">
        <x:f>_xlfn.IFNA(VLOOKUP(E14,'HoaHong'!$A$2:$B$7,2,FALSE),"Thieu ma")</x:f>
        <x:v>0.05</x:v>
      </x:c>
      <x:c r="O14" s="8" t="n">
        <x:f>IF(D14="BAN",J14,M14)</x:f>
        <x:v>91200000</x:v>
      </x:c>
      <x:c r="P14" s="8" t="n">
        <x:f>IF(ISNUMBER(N14),ROUND(O14*N14,0),"Kiem tra ma")</x:f>
        <x:v>4560000</x:v>
      </x:c>
      <x:c r="R14" t="str">
        <x:v>Thêm record bằng hàng mới trong Table, kiểm tra công thức đã được điền.</x:v>
      </x:c>
    </x:row>
    <x:row r="15" ht="26" customHeight="1">
      <x:c r="A15" s="9" t="str">
        <x:v>SH014</x:v>
      </x:c>
      <x:c r="B15" s="9" t="str">
        <x:v>Bất động sản mẫu 14</x:v>
      </x:c>
      <x:c r="C15" s="9" t="str">
        <x:v>NP</x:v>
      </x:c>
      <x:c r="D15" s="9" t="str">
        <x:v>THUE</x:v>
      </x:c>
      <x:c r="E15" s="2" t="str">
        <x:f>TRIM(C15)&amp;"_"&amp;TRIM(D15)</x:f>
        <x:v>NP_THUE</x:v>
      </x:c>
      <x:c r="F15" s="9" t="n">
        <x:v>136</x:v>
      </x:c>
      <x:c r="G15" s="10"/>
      <x:c r="H15" s="10" t="n">
        <x:v>9000000</x:v>
      </x:c>
      <x:c r="I15" s="11" t="n">
        <x:v>0.03</x:v>
      </x:c>
      <x:c r="J15" s="8" t="str">
        <x:f>IF(D15="BAN",ROUND(G15*(1-I15),0),"")</x:f>
      </x:c>
      <x:c r="K15" s="8" t="n">
        <x:f>IF(D15="THUE",ROUND(H15*(1-I15),0),"")</x:f>
        <x:v>8730000</x:v>
      </x:c>
      <x:c r="L15" s="9" t="n">
        <x:v>6</x:v>
      </x:c>
      <x:c r="M15" s="8" t="n">
        <x:f>IF(D15="THUE",K15*L15,"")</x:f>
        <x:v>52380000</x:v>
      </x:c>
      <x:c r="N15" s="5" t="n">
        <x:f>_xlfn.IFNA(VLOOKUP(E15,'HoaHong'!$A$2:$B$7,2,FALSE),"Thieu ma")</x:f>
        <x:v>0.04</x:v>
      </x:c>
      <x:c r="O15" s="8" t="n">
        <x:f>IF(D15="BAN",J15,M15)</x:f>
        <x:v>52380000</x:v>
      </x:c>
      <x:c r="P15" s="8" t="n">
        <x:f>IF(ISNUMBER(N15),ROUND(O15*N15,0),"Kiem tra ma")</x:f>
        <x:v>2095200</x:v>
      </x:c>
    </x:row>
    <x:row r="16" ht="26" customHeight="1">
      <x:c r="A16" s="9" t="str">
        <x:v>SH015</x:v>
      </x:c>
      <x:c r="B16" s="9" t="str">
        <x:v>Bất động sản mẫu 15</x:v>
      </x:c>
      <x:c r="C16" s="9" t="str">
        <x:v>DAT</x:v>
      </x:c>
      <x:c r="D16" s="9" t="str">
        <x:v>THUE</x:v>
      </x:c>
      <x:c r="E16" s="2" t="str">
        <x:f>TRIM(C16)&amp;"_"&amp;TRIM(D16)</x:f>
        <x:v>DAT_THUE</x:v>
      </x:c>
      <x:c r="F16" s="9" t="n">
        <x:v>143</x:v>
      </x:c>
      <x:c r="G16" s="10"/>
      <x:c r="H16" s="10" t="n">
        <x:v>10000000</x:v>
      </x:c>
      <x:c r="I16" s="11" t="n">
        <x:v>0</x:v>
      </x:c>
      <x:c r="J16" s="8" t="str">
        <x:f>IF(D16="BAN",ROUND(G16*(1-I16),0),"")</x:f>
      </x:c>
      <x:c r="K16" s="8" t="n">
        <x:f>IF(D16="THUE",ROUND(H16*(1-I16),0),"")</x:f>
        <x:v>10000000</x:v>
      </x:c>
      <x:c r="L16" s="9" t="n">
        <x:v>24</x:v>
      </x:c>
      <x:c r="M16" s="8" t="n">
        <x:f>IF(D16="THUE",K16*L16,"")</x:f>
        <x:v>240000000</x:v>
      </x:c>
      <x:c r="N16" s="5" t="n">
        <x:f>_xlfn.IFNA(VLOOKUP(E16,'HoaHong'!$A$2:$B$7,2,FALSE),"Thieu ma")</x:f>
        <x:v>0.03</x:v>
      </x:c>
      <x:c r="O16" s="8" t="n">
        <x:f>IF(D16="BAN",J16,M16)</x:f>
        <x:v>240000000</x:v>
      </x:c>
      <x:c r="P16" s="8" t="n">
        <x:f>IF(ISNUMBER(N16),ROUND(O16*N16,0),"Kiem tra ma")</x:f>
        <x:v>7200000</x:v>
      </x:c>
    </x:row>
    <x:row r="17" ht="26" customHeight="1">
      <x:c r="A17" s="9" t="str">
        <x:v>SH016</x:v>
      </x:c>
      <x:c r="B17" s="9" t="str">
        <x:v>Bất động sản mẫu 16</x:v>
      </x:c>
      <x:c r="C17" s="9" t="str">
        <x:v>CH</x:v>
      </x:c>
      <x:c r="D17" s="9" t="str">
        <x:v>THUE</x:v>
      </x:c>
      <x:c r="E17" s="2" t="str">
        <x:f>TRIM(C17)&amp;"_"&amp;TRIM(D17)</x:f>
        <x:v>CH_THUE</x:v>
      </x:c>
      <x:c r="F17" s="9" t="n">
        <x:v>150</x:v>
      </x:c>
      <x:c r="G17" s="10"/>
      <x:c r="H17" s="10" t="n">
        <x:v>11000000</x:v>
      </x:c>
      <x:c r="I17" s="11" t="n">
        <x:v>0.02</x:v>
      </x:c>
      <x:c r="J17" s="8" t="str">
        <x:f>IF(D17="BAN",ROUND(G17*(1-I17),0),"")</x:f>
      </x:c>
      <x:c r="K17" s="8" t="n">
        <x:f>IF(D17="THUE",ROUND(H17*(1-I17),0),"")</x:f>
        <x:v>10780000</x:v>
      </x:c>
      <x:c r="L17" s="9" t="n">
        <x:v>12</x:v>
      </x:c>
      <x:c r="M17" s="8" t="n">
        <x:f>IF(D17="THUE",K17*L17,"")</x:f>
        <x:v>129360000</x:v>
      </x:c>
      <x:c r="N17" s="5" t="n">
        <x:f>_xlfn.IFNA(VLOOKUP(E17,'HoaHong'!$A$2:$B$7,2,FALSE),"Thieu ma")</x:f>
        <x:v>0.05</x:v>
      </x:c>
      <x:c r="O17" s="8" t="n">
        <x:f>IF(D17="BAN",J17,M17)</x:f>
        <x:v>129360000</x:v>
      </x:c>
      <x:c r="P17" s="8" t="n">
        <x:f>IF(ISNUMBER(N17),ROUND(O17*N17,0),"Kiem tra ma")</x:f>
        <x:v>6468000</x:v>
      </x:c>
    </x:row>
    <x:row r="18" ht="26" customHeight="1">
      <x:c r="A18" s="9" t="str">
        <x:v>SH017</x:v>
      </x:c>
      <x:c r="B18" s="9" t="str">
        <x:v>Bất động sản mẫu 17</x:v>
      </x:c>
      <x:c r="C18" s="9" t="str">
        <x:v>NP</x:v>
      </x:c>
      <x:c r="D18" s="9" t="str">
        <x:v>THUE</x:v>
      </x:c>
      <x:c r="E18" s="2" t="str">
        <x:f>TRIM(C18)&amp;"_"&amp;TRIM(D18)</x:f>
        <x:v>NP_THUE</x:v>
      </x:c>
      <x:c r="F18" s="9" t="n">
        <x:v>157</x:v>
      </x:c>
      <x:c r="G18" s="10"/>
      <x:c r="H18" s="10" t="n">
        <x:v>12000000</x:v>
      </x:c>
      <x:c r="I18" s="11" t="n">
        <x:v>0.05</x:v>
      </x:c>
      <x:c r="J18" s="8" t="str">
        <x:f>IF(D18="BAN",ROUND(G18*(1-I18),0),"")</x:f>
      </x:c>
      <x:c r="K18" s="8" t="n">
        <x:f>IF(D18="THUE",ROUND(H18*(1-I18),0),"")</x:f>
        <x:v>11400000</x:v>
      </x:c>
      <x:c r="L18" s="9" t="n">
        <x:v>6</x:v>
      </x:c>
      <x:c r="M18" s="8" t="n">
        <x:f>IF(D18="THUE",K18*L18,"")</x:f>
        <x:v>68400000</x:v>
      </x:c>
      <x:c r="N18" s="5" t="n">
        <x:f>_xlfn.IFNA(VLOOKUP(E18,'HoaHong'!$A$2:$B$7,2,FALSE),"Thieu ma")</x:f>
        <x:v>0.04</x:v>
      </x:c>
      <x:c r="O18" s="8" t="n">
        <x:f>IF(D18="BAN",J18,M18)</x:f>
        <x:v>68400000</x:v>
      </x:c>
      <x:c r="P18" s="8" t="n">
        <x:f>IF(ISNUMBER(N18),ROUND(O18*N18,0),"Kiem tra ma")</x:f>
        <x:v>2736000</x:v>
      </x:c>
    </x:row>
    <x:row r="19" ht="26" customHeight="1">
      <x:c r="A19" s="9" t="str">
        <x:v>SH018</x:v>
      </x:c>
      <x:c r="B19" s="9" t="str">
        <x:v>Bất động sản mẫu 18</x:v>
      </x:c>
      <x:c r="C19" s="9" t="str">
        <x:v>DAT</x:v>
      </x:c>
      <x:c r="D19" s="9" t="str">
        <x:v>THUE</x:v>
      </x:c>
      <x:c r="E19" s="2" t="str">
        <x:f>TRIM(C19)&amp;"_"&amp;TRIM(D19)</x:f>
        <x:v>DAT_THUE</x:v>
      </x:c>
      <x:c r="F19" s="9" t="n">
        <x:v>164</x:v>
      </x:c>
      <x:c r="G19" s="10"/>
      <x:c r="H19" s="10" t="n">
        <x:v>13000000</x:v>
      </x:c>
      <x:c r="I19" s="11" t="n">
        <x:v>0.03</x:v>
      </x:c>
      <x:c r="J19" s="8" t="str">
        <x:f>IF(D19="BAN",ROUND(G19*(1-I19),0),"")</x:f>
      </x:c>
      <x:c r="K19" s="8" t="n">
        <x:f>IF(D19="THUE",ROUND(H19*(1-I19),0),"")</x:f>
        <x:v>12610000</x:v>
      </x:c>
      <x:c r="L19" s="9" t="n">
        <x:v>24</x:v>
      </x:c>
      <x:c r="M19" s="8" t="n">
        <x:f>IF(D19="THUE",K19*L19,"")</x:f>
        <x:v>302640000</x:v>
      </x:c>
      <x:c r="N19" s="5" t="n">
        <x:f>_xlfn.IFNA(VLOOKUP(E19,'HoaHong'!$A$2:$B$7,2,FALSE),"Thieu ma")</x:f>
        <x:v>0.03</x:v>
      </x:c>
      <x:c r="O19" s="8" t="n">
        <x:f>IF(D19="BAN",J19,M19)</x:f>
        <x:v>302640000</x:v>
      </x:c>
      <x:c r="P19" s="8" t="n">
        <x:f>IF(ISNUMBER(N19),ROUND(O19*N19,0),"Kiem tra ma")</x:f>
        <x:v>9079200</x:v>
      </x:c>
    </x:row>
    <x:row r="20" ht="26" customHeight="1">
      <x:c r="A20" s="9" t="str">
        <x:v>SH019</x:v>
      </x:c>
      <x:c r="B20" s="9" t="str">
        <x:v>Bất động sản mẫu 19</x:v>
      </x:c>
      <x:c r="C20" s="9" t="str">
        <x:v>CH</x:v>
      </x:c>
      <x:c r="D20" s="9" t="str">
        <x:v>THUE</x:v>
      </x:c>
      <x:c r="E20" s="2" t="str">
        <x:f>TRIM(C20)&amp;"_"&amp;TRIM(D20)</x:f>
        <x:v>CH_THUE</x:v>
      </x:c>
      <x:c r="F20" s="9" t="n">
        <x:v>171</x:v>
      </x:c>
      <x:c r="G20" s="10"/>
      <x:c r="H20" s="10" t="n">
        <x:v>14000000</x:v>
      </x:c>
      <x:c r="I20" s="11" t="n">
        <x:v>0</x:v>
      </x:c>
      <x:c r="J20" s="8" t="str">
        <x:f>IF(D20="BAN",ROUND(G20*(1-I20),0),"")</x:f>
      </x:c>
      <x:c r="K20" s="8" t="n">
        <x:f>IF(D20="THUE",ROUND(H20*(1-I20),0),"")</x:f>
        <x:v>14000000</x:v>
      </x:c>
      <x:c r="L20" s="9" t="n">
        <x:v>12</x:v>
      </x:c>
      <x:c r="M20" s="8" t="n">
        <x:f>IF(D20="THUE",K20*L20,"")</x:f>
        <x:v>168000000</x:v>
      </x:c>
      <x:c r="N20" s="5" t="n">
        <x:f>_xlfn.IFNA(VLOOKUP(E20,'HoaHong'!$A$2:$B$7,2,FALSE),"Thieu ma")</x:f>
        <x:v>0.05</x:v>
      </x:c>
      <x:c r="O20" s="8" t="n">
        <x:f>IF(D20="BAN",J20,M20)</x:f>
        <x:v>168000000</x:v>
      </x:c>
      <x:c r="P20" s="8" t="n">
        <x:f>IF(ISNUMBER(N20),ROUND(O20*N20,0),"Kiem tra ma")</x:f>
        <x:v>8400000</x:v>
      </x:c>
    </x:row>
    <x:row r="21" ht="26" customHeight="1">
      <x:c r="A21" s="9" t="str">
        <x:v>SH020</x:v>
      </x:c>
      <x:c r="B21" s="9" t="str">
        <x:v>Bất động sản mẫu 20</x:v>
      </x:c>
      <x:c r="C21" s="9" t="str">
        <x:v>NP</x:v>
      </x:c>
      <x:c r="D21" s="9" t="str">
        <x:v>THUE</x:v>
      </x:c>
      <x:c r="E21" s="2" t="str">
        <x:f>TRIM(C21)&amp;"_"&amp;TRIM(D21)</x:f>
        <x:v>NP_THUE</x:v>
      </x:c>
      <x:c r="F21" s="9" t="n">
        <x:v>178</x:v>
      </x:c>
      <x:c r="G21" s="10"/>
      <x:c r="H21" s="10" t="n">
        <x:v>15000000</x:v>
      </x:c>
      <x:c r="I21" s="11" t="n">
        <x:v>0.02</x:v>
      </x:c>
      <x:c r="J21" s="8" t="str">
        <x:f>IF(D21="BAN",ROUND(G21*(1-I21),0),"")</x:f>
      </x:c>
      <x:c r="K21" s="8" t="n">
        <x:f>IF(D21="THUE",ROUND(H21*(1-I21),0),"")</x:f>
        <x:v>14700000</x:v>
      </x:c>
      <x:c r="L21" s="9" t="n">
        <x:v>6</x:v>
      </x:c>
      <x:c r="M21" s="8" t="n">
        <x:f>IF(D21="THUE",K21*L21,"")</x:f>
        <x:v>88200000</x:v>
      </x:c>
      <x:c r="N21" s="5" t="n">
        <x:f>_xlfn.IFNA(VLOOKUP(E21,'HoaHong'!$A$2:$B$7,2,FALSE),"Thieu ma")</x:f>
        <x:v>0.04</x:v>
      </x:c>
      <x:c r="O21" s="8" t="n">
        <x:f>IF(D21="BAN",J21,M21)</x:f>
        <x:v>88200000</x:v>
      </x:c>
      <x:c r="P21" s="8" t="n">
        <x:f>IF(ISNUMBER(N21),ROUND(O21*N21,0),"Kiem tra ma")</x:f>
        <x:v>3528000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</x:sheetData>
  <x:conditionalFormatting sqref="A2:A21">
    <x:cfRule type="duplicateValues" dxfId="0" priority="1"/>
  </x:conditionalFormatting>
  <x:conditionalFormatting sqref="N2:P21">
    <x:cfRule type="containsText" dxfId="1" priority="2" operator="containsText" text="ma"/>
  </x:conditionalFormatting>
  <x:dataValidations count="3">
    <x:dataValidation type="list" sqref="C2:C21">
      <x:formula1>"CH,NP,DAT"</x:formula1>
    </x:dataValidation>
    <x:dataValidation type="list" sqref="D2:D21">
      <x:formula1>"BAN,THUE"</x:formula1>
    </x:dataValidation>
    <x:dataValidation type="decimal" operator="between" sqref="I2:I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12126ff42b649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4" max="4" width="92" hidden="0" customWidth="1"/>
  </x:cols>
  <x:sheetData>
    <x:row r="1" ht="28" customHeight="1">
      <x:c r="A1" s="4" t="str">
        <x:v>Khoa</x:v>
      </x:c>
      <x:c r="B1" s="4" t="str">
        <x:v>Ty_le_hoa_hong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2" t="str">
        <x:v>CH_BAN</x:v>
      </x:c>
      <x:c r="B2" s="5" t="n">
        <x:v>0.02</x:v>
      </x:c>
      <x:c r="C2" s="2"/>
      <x:c r="D2" s="2" t="str">
        <x:v>Nguồn: giả định phục vụ bài tập Smart-Home, không phải mức phí thị trường.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2" t="str">
        <x:v>NP_BAN</x:v>
      </x:c>
      <x:c r="B3" s="5" t="n">
        <x:v>0.015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8" customHeight="1">
      <x:c r="A4" s="2" t="str">
        <x:v>DAT_BAN</x:v>
      </x:c>
      <x:c r="B4" s="5" t="n">
        <x:v>0.01</x:v>
      </x:c>
      <x:c r="C4" s="2"/>
      <x:c r="D4" s="2" t="str">
        <x:v>CH = căn hộ, NP = nhà phố, DAT = đất. BAN = bán, THUE = thuê.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8" customHeight="1">
      <x:c r="A5" s="2" t="str">
        <x:v>CH_THUE</x:v>
      </x:c>
      <x:c r="B5" s="5" t="n">
        <x:v>0.05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8" customHeight="1">
      <x:c r="A6" s="2" t="str">
        <x:v>NP_THUE</x:v>
      </x:c>
      <x:c r="B6" s="5" t="n">
        <x:v>0.04</x:v>
      </x:c>
      <x:c r="C6" s="2"/>
      <x:c r="D6" s="2" t="str">
        <x:v>Bán: hoa hồng tính trên giá sau chiết khấu.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8" customHeight="1">
      <x:c r="A7" s="2" t="str">
        <x:v>DAT_THUE</x:v>
      </x:c>
      <x:c r="B7" s="5" t="n">
        <x:v>0.03</x:v>
      </x:c>
      <x:c r="C7" s="2"/>
      <x:c r="D7" s="2" t="str">
        <x:v>Thuê: hoa hồng tính trên tổng giá thuê cả hợp đồng sau chiết khấu.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 t="str">
        <x:v>Hoa hồng môi giới khác phí nền tảng gọi vốn trong Pitch Deck.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</x:sheetData>
  <x:pageMargins left="0.7" right="0.7" top="0.75" bottom="0.75" header="0.3" footer="0.3"/>
  <x:tableParts count="1">
    <x:tablePart xmlns:r="http://schemas.openxmlformats.org/officeDocument/2006/relationships" r:id="Rdefbb40e22a847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12" t="str">
        <x:v>Lan_keo</x:v>
      </x:c>
      <x:c r="B1" s="12" t="str">
        <x:v>Khoa</x:v>
      </x:c>
      <x:c r="C1" s="12" t="str">
        <x:v>Vung_troi</x:v>
      </x:c>
      <x:c r="D1" s="12" t="str">
        <x:v>Vung_co_dinh</x:v>
      </x:c>
      <x:c r="E1" s="12" t="str">
        <x:v>Ky_vong</x:v>
      </x:c>
      <x:c r="F1" s="12" t="str">
        <x:v>Ket_qua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2" t="n">
        <x:v>0</x:v>
      </x:c>
      <x:c r="B2" s="2" t="str">
        <x:v>CH_BAN</x:v>
      </x:c>
      <x:c r="C2" s="5" t="n">
        <x:f>_xlfn.IFNA(VLOOKUP(B2,'HoaHong'!A2:B7,2,FALSE),"Khong tim thay")</x:f>
        <x:v>0.02</x:v>
      </x:c>
      <x:c r="D2" s="5" t="n">
        <x:f>_xlfn.IFNA(VLOOKUP(B2,'HoaHong'!$A$2:$B$7,2,FALSE),"Khong tim thay")</x:f>
        <x:v>0.02</x:v>
      </x:c>
      <x:c r="E2" s="5" t="n">
        <x:v>0.02</x:v>
      </x:c>
      <x:c r="F2" s="2" t="str">
        <x:f>IF(D2=E2,"Dat","Khong dat")</x:f>
        <x:v>Dat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0" customHeight="1">
      <x:c r="A3" s="2" t="n">
        <x:v>1</x:v>
      </x:c>
      <x:c r="B3" s="2" t="str">
        <x:v>CH_BAN</x:v>
      </x:c>
      <x:c r="C3" s="5" t="str">
        <x:f>_xlfn.IFNA(VLOOKUP(B3,'HoaHong'!A3:B8,2,FALSE),"Khong tim thay")</x:f>
        <x:v>Khong tim thay</x:v>
      </x:c>
      <x:c r="D3" s="5" t="n">
        <x:f>_xlfn.IFNA(VLOOKUP(B3,'HoaHong'!$A$2:$B$7,2,FALSE),"Khong tim thay")</x:f>
        <x:v>0.02</x:v>
      </x:c>
      <x:c r="E3" s="5" t="n">
        <x:v>0.02</x:v>
      </x:c>
      <x:c r="F3" s="2" t="str">
        <x:f>IF(D3=E3,"Dat","Khong dat")</x:f>
        <x:v>Dat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 t="n">
        <x:v>2</x:v>
      </x:c>
      <x:c r="B4" s="2" t="str">
        <x:v>CH_BAN</x:v>
      </x:c>
      <x:c r="C4" s="5" t="str">
        <x:f>_xlfn.IFNA(VLOOKUP(B4,'HoaHong'!A4:B9,2,FALSE),"Khong tim thay")</x:f>
        <x:v>Khong tim thay</x:v>
      </x:c>
      <x:c r="D4" s="5" t="n">
        <x:f>_xlfn.IFNA(VLOOKUP(B4,'HoaHong'!$A$2:$B$7,2,FALSE),"Khong tim thay")</x:f>
        <x:v>0.02</x:v>
      </x:c>
      <x:c r="E4" s="5" t="n">
        <x:v>0.02</x:v>
      </x:c>
      <x:c r="F4" s="2" t="str">
        <x:f>IF(D4=E4,"Dat","Khong dat")</x:f>
        <x:v>Dat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0" customHeight="1">
      <x:c r="A5" s="2" t="n">
        <x:v>3</x:v>
      </x:c>
      <x:c r="B5" s="2" t="str">
        <x:v>CH_BAN</x:v>
      </x:c>
      <x:c r="C5" s="5" t="str">
        <x:f>_xlfn.IFNA(VLOOKUP(B5,'HoaHong'!A5:B10,2,FALSE),"Khong tim thay")</x:f>
        <x:v>Khong tim thay</x:v>
      </x:c>
      <x:c r="D5" s="5" t="n">
        <x:f>_xlfn.IFNA(VLOOKUP(B5,'HoaHong'!$A$2:$B$7,2,FALSE),"Khong tim thay")</x:f>
        <x:v>0.02</x:v>
      </x:c>
      <x:c r="E5" s="5" t="n">
        <x:v>0.02</x:v>
      </x:c>
      <x:c r="F5" s="2" t="str">
        <x:f>IF(D5=E5,"Dat","Khong dat")</x:f>
        <x:v>Dat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0" customHeight="1">
      <x:c r="A6" s="2" t="n">
        <x:v>4</x:v>
      </x:c>
      <x:c r="B6" s="2" t="str">
        <x:v>CH_BAN</x:v>
      </x:c>
      <x:c r="C6" s="5" t="str">
        <x:f>_xlfn.IFNA(VLOOKUP(B6,'HoaHong'!A6:B11,2,FALSE),"Khong tim thay")</x:f>
        <x:v>Khong tim thay</x:v>
      </x:c>
      <x:c r="D6" s="5" t="n">
        <x:f>_xlfn.IFNA(VLOOKUP(B6,'HoaHong'!$A$2:$B$7,2,FALSE),"Khong tim thay")</x:f>
        <x:v>0.02</x:v>
      </x:c>
      <x:c r="E6" s="5" t="n">
        <x:v>0.02</x:v>
      </x:c>
      <x:c r="F6" s="2" t="str">
        <x:f>IF(D6=E6,"Dat","Khong dat")</x:f>
        <x:v>Dat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2" t="n">
        <x:v>5</x:v>
      </x:c>
      <x:c r="B7" s="2" t="str">
        <x:v>CH_BAN</x:v>
      </x:c>
      <x:c r="C7" s="5" t="str">
        <x:f>_xlfn.IFNA(VLOOKUP(B7,'HoaHong'!A7:B12,2,FALSE),"Khong tim thay")</x:f>
        <x:v>Khong tim thay</x:v>
      </x:c>
      <x:c r="D7" s="5" t="n">
        <x:f>_xlfn.IFNA(VLOOKUP(B7,'HoaHong'!$A$2:$B$7,2,FALSE),"Khong tim thay")</x:f>
        <x:v>0.02</x:v>
      </x:c>
      <x:c r="E7" s="5" t="n">
        <x:v>0.02</x:v>
      </x:c>
      <x:c r="F7" s="2" t="str">
        <x:f>IF(D7=E7,"Dat","Khong dat")</x:f>
        <x:v>Dat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0" customHeight="1">
      <x:c r="A8" s="2" t="n">
        <x:v>6</x:v>
      </x:c>
      <x:c r="B8" s="2" t="str">
        <x:v>KHONG_CO</x:v>
      </x:c>
      <x:c r="C8" s="2" t="str">
        <x:f>_xlfn.IFNA(VLOOKUP(B8,'HoaHong'!A8:B13,2,FALSE),"Khong tim thay")</x:f>
        <x:v>Khong tim thay</x:v>
      </x:c>
      <x:c r="D8" s="2" t="str">
        <x:f>_xlfn.IFNA(VLOOKUP(B8,'HoaHong'!$A$2:$B$7,2,FALSE),"Khong tim thay")</x:f>
        <x:v>Khong tim thay</x:v>
      </x:c>
      <x:c r="E8" s="2" t="str">
        <x:v>Khong tim thay</x:v>
      </x:c>
      <x:c r="F8" s="2" t="str">
        <x:f>IF(D8=E8,"Dat","Khong dat")</x:f>
        <x:v>Dat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 t="str">
        <x:v>C3 có A3:B8 nên mất mã CH_BAN tại A2. D3 vẫn dùng $A$2:$B$7.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 t="str">
        <x:v>IFNA chỉ đổi lỗi thiếu mã thành thông báo, không biến lỗi thành 0%.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 t="str">
        <x:v>Chọn tham chiếu trong thanh công thức, nhấn F4 để chuyển kiểu dấu $.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 t="str">
        <x:v>Thử đổi I2 ở DanhSach từ 5% sang 10%, kiểm tra J2 và P2 cùng thay đổi.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</x:sheetData>
  <x:pageMargins left="0.7" right="0.7" top="0.75" bottom="0.75" header="0.3" footer="0.3"/>
</x:worksheet>
</file>